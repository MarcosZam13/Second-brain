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isy\Documents\ProyectosPersonales\vault\Cursos\CompuYSociedad\entregables\"/>
    </mc:Choice>
  </mc:AlternateContent>
  <xr:revisionPtr revIDLastSave="0" documentId="13_ncr:1_{31F44A19-50A6-4C8C-914D-9D46D9F9DF4F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upuestos" sheetId="1" r:id="rId1"/>
    <sheet name="Planilla" sheetId="2" r:id="rId2"/>
    <sheet name="Presupuesto" sheetId="3" r:id="rId3"/>
    <sheet name="CostoDeVid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4" l="1"/>
  <c r="B12" i="4"/>
  <c r="C21" i="4" s="1"/>
  <c r="B10" i="2"/>
  <c r="D9" i="2"/>
  <c r="E9" i="2" s="1"/>
  <c r="D8" i="2"/>
  <c r="D7" i="2"/>
  <c r="D6" i="2"/>
  <c r="D5" i="2"/>
  <c r="D4" i="2"/>
  <c r="E5" i="2" l="1"/>
  <c r="H5" i="2" s="1"/>
  <c r="I5" i="2" s="1"/>
  <c r="F7" i="2"/>
  <c r="G5" i="2"/>
  <c r="G9" i="2"/>
  <c r="E7" i="2"/>
  <c r="H7" i="2" s="1"/>
  <c r="I7" i="2" s="1"/>
  <c r="F5" i="2"/>
  <c r="F9" i="2"/>
  <c r="H9" i="2" s="1"/>
  <c r="I9" i="2" s="1"/>
  <c r="G7" i="2"/>
  <c r="E4" i="2"/>
  <c r="E6" i="2"/>
  <c r="H6" i="2" s="1"/>
  <c r="I6" i="2" s="1"/>
  <c r="E8" i="2"/>
  <c r="H8" i="2" s="1"/>
  <c r="I8" i="2" s="1"/>
  <c r="F4" i="2"/>
  <c r="H4" i="2" s="1"/>
  <c r="I4" i="2" s="1"/>
  <c r="F6" i="2"/>
  <c r="F8" i="2"/>
  <c r="G4" i="2"/>
  <c r="G6" i="2"/>
  <c r="G8" i="2"/>
  <c r="C17" i="4"/>
  <c r="C18" i="4"/>
  <c r="C19" i="4"/>
  <c r="C20" i="4"/>
  <c r="I10" i="2" l="1"/>
  <c r="C4" i="3" s="1"/>
  <c r="C10" i="3" s="1"/>
</calcChain>
</file>

<file path=xl/sharedStrings.xml><?xml version="1.0" encoding="utf-8"?>
<sst xmlns="http://schemas.openxmlformats.org/spreadsheetml/2006/main" count="80" uniqueCount="69">
  <si>
    <t>VolunTico — Supuestos de cálculo financiero (Año 1)</t>
  </si>
  <si>
    <t>Concepto</t>
  </si>
  <si>
    <t>Valor</t>
  </si>
  <si>
    <t>Nota</t>
  </si>
  <si>
    <t>Aporte patronal a la CCSS (Enfermedad/Maternidad + IVM + Banco Popular + INA + FODESAF + otros)</t>
  </si>
  <si>
    <t>26.67%</t>
  </si>
  <si>
    <t>Sobre salario bruto anual, aplicado igual que en el ejercicio de clase (Semana 3)</t>
  </si>
  <si>
    <t>Póliza de riesgos del trabajo (INS – SORTE)</t>
  </si>
  <si>
    <t>2.00%</t>
  </si>
  <si>
    <t>Dentro del rango 1%–3% indicado en la guía; sector oficina/tecnología, riesgo bajo</t>
  </si>
  <si>
    <t>Aguinaldo</t>
  </si>
  <si>
    <t>Salario anual / 12</t>
  </si>
  <si>
    <t>Un mes de salario, ley de Costa Rica</t>
  </si>
  <si>
    <t>Tipo de cambio de referencia</t>
  </si>
  <si>
    <t>—</t>
  </si>
  <si>
    <t>Todos los montos en colones costarricenses (₡)</t>
  </si>
  <si>
    <t>VolunTico — Planilla y costo laboral anual (Año 1)</t>
  </si>
  <si>
    <t>Puesto</t>
  </si>
  <si>
    <t>Cantidad</t>
  </si>
  <si>
    <t>Salario base mensual</t>
  </si>
  <si>
    <t>Salario anual (c/u)</t>
  </si>
  <si>
    <t>Aguinaldo (c/u)</t>
  </si>
  <si>
    <t>CCSS patronal 26.67% (c/u)</t>
  </si>
  <si>
    <t>INS 2% (c/u)</t>
  </si>
  <si>
    <t>Costo anual por persona</t>
  </si>
  <si>
    <t>Costo anual del puesto (× cantidad)</t>
  </si>
  <si>
    <t>Gerente general y encargado de alianzas</t>
  </si>
  <si>
    <t>Desarrollador backend</t>
  </si>
  <si>
    <t>Desarrollador frontend</t>
  </si>
  <si>
    <t>Diseñador UX/UI</t>
  </si>
  <si>
    <t>Soporte y atención al usuario</t>
  </si>
  <si>
    <t>Administrativo (RR. HH. y finanzas)</t>
  </si>
  <si>
    <t>TOTAL</t>
  </si>
  <si>
    <t>Verificación con el ejemplo de la guía (salario ₡600,000):</t>
  </si>
  <si>
    <t>Salario mensual ₡600,000 → anual ₡7,200,000 · aguinaldo ₡600,000 · CCSS ₡1,920,240 · INS ₡144,000 · costo total ₡9,864,240 (coincide con fila Administrativo).</t>
  </si>
  <si>
    <t>VolunTico — Presupuesto anual (Año 1)</t>
  </si>
  <si>
    <t>Rubro</t>
  </si>
  <si>
    <t>Detalle</t>
  </si>
  <si>
    <t>Monto anual</t>
  </si>
  <si>
    <t>Planilla total (salarios + aguinaldo + CCSS + INS)</t>
  </si>
  <si>
    <t>Ver hoja Planilla, 10 colaboradores</t>
  </si>
  <si>
    <t>Alquiler de oficina</t>
  </si>
  <si>
    <t>Espacio compartido / coworking pequeño en San José, ₡800,000/mes</t>
  </si>
  <si>
    <t>Internet y telefonía</t>
  </si>
  <si>
    <t>Fibra dedicada + líneas del equipo, ₡60,000/mes</t>
  </si>
  <si>
    <t>Software y suscripciones</t>
  </si>
  <si>
    <t>Hosting/cloud, dominio, Slack, Google Workspace, Figma, GitHub, ₡300,000/mes</t>
  </si>
  <si>
    <t>Equipo tecnológico (compra inicial)</t>
  </si>
  <si>
    <t>10 laptops de trabajo a ₡700,000 c/u</t>
  </si>
  <si>
    <t>Mercadeo y lanzamiento</t>
  </si>
  <si>
    <t>Campaña digital inicial, alianzas y material de lanzamiento</t>
  </si>
  <si>
    <t>TOTAL PRESUPUESTO AÑO 1</t>
  </si>
  <si>
    <t>Contraste: salario propuesto vs. costo de vida de un profesional joven en San José</t>
  </si>
  <si>
    <t>Gasto mensual estimado — profesional joven, vive solo, estilo de vida medio</t>
  </si>
  <si>
    <t>Categoría</t>
  </si>
  <si>
    <t>Monto (₡)</t>
  </si>
  <si>
    <t>Vivienda</t>
  </si>
  <si>
    <t>Alimentación</t>
  </si>
  <si>
    <t>Transporte</t>
  </si>
  <si>
    <t>Servicios básicos</t>
  </si>
  <si>
    <t>Ocio</t>
  </si>
  <si>
    <t>Otros gastos</t>
  </si>
  <si>
    <t>Total mensual estimado</t>
  </si>
  <si>
    <t>Salario base mensual por puesto en VolunTico vs. este umbral de gasto</t>
  </si>
  <si>
    <t>Diferencia vs. gasto estimado</t>
  </si>
  <si>
    <t>Lectura</t>
  </si>
  <si>
    <t>Cubre gastos básicos y permite algo de ahorro</t>
  </si>
  <si>
    <t>Justo en el límite del gasto básico, sin margen de ahorro</t>
  </si>
  <si>
    <t>Cubre gastos básicos, ahorro limitado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</si>
</sst>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</font>
    <font>
      <i/>
      <sz val="9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baseColWidth="10" defaultColWidth="8.88671875" defaultRowHeight="14.4" x14ac:dyDescent="0.3"/>
  <cols>
    <col min="1" max="1" width="84.109375" bestFit="1" customWidth="1"/>
    <col min="2" max="2" width="20" customWidth="1"/>
    <col min="3" max="3" width="68.88671875" bestFit="1" customWidth="1"/>
  </cols>
  <sheetData>
    <row r="1" spans="1:3" ht="19.95" customHeight="1" x14ac:dyDescent="0.35">
      <c r="A1" s="1" t="s">
        <v>0</v>
      </c>
    </row>
    <row r="3" spans="1:3" x14ac:dyDescent="0.3">
      <c r="A3" s="2" t="s">
        <v>1</v>
      </c>
      <c r="B3" s="2" t="s">
        <v>2</v>
      </c>
      <c r="C3" s="2" t="s">
        <v>3</v>
      </c>
    </row>
    <row r="4" spans="1:3" x14ac:dyDescent="0.3">
      <c r="A4" s="3" t="s">
        <v>4</v>
      </c>
      <c r="B4" s="3" t="s">
        <v>5</v>
      </c>
      <c r="C4" s="3" t="s">
        <v>6</v>
      </c>
    </row>
    <row r="5" spans="1:3" x14ac:dyDescent="0.3">
      <c r="A5" s="3" t="s">
        <v>7</v>
      </c>
      <c r="B5" s="3" t="s">
        <v>8</v>
      </c>
      <c r="C5" s="3" t="s">
        <v>9</v>
      </c>
    </row>
    <row r="6" spans="1:3" x14ac:dyDescent="0.3">
      <c r="A6" s="3" t="s">
        <v>10</v>
      </c>
      <c r="B6" s="3" t="s">
        <v>11</v>
      </c>
      <c r="C6" s="3" t="s">
        <v>12</v>
      </c>
    </row>
    <row r="7" spans="1:3" x14ac:dyDescent="0.3">
      <c r="A7" s="3" t="s">
        <v>13</v>
      </c>
      <c r="B7" s="3" t="s">
        <v>14</v>
      </c>
      <c r="C7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2" width="10" customWidth="1"/>
    <col min="3" max="4" width="16" customWidth="1"/>
    <col min="5" max="5" width="14" customWidth="1"/>
    <col min="6" max="6" width="16" customWidth="1"/>
    <col min="7" max="7" width="12" customWidth="1"/>
    <col min="8" max="8" width="16" customWidth="1"/>
    <col min="9" max="9" width="20" customWidth="1"/>
  </cols>
  <sheetData>
    <row r="1" spans="1:9" ht="19.95" customHeight="1" x14ac:dyDescent="0.35">
      <c r="A1" s="1" t="s">
        <v>16</v>
      </c>
    </row>
    <row r="3" spans="1:9" ht="28.8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spans="1:9" x14ac:dyDescent="0.3">
      <c r="A4" s="3" t="s">
        <v>26</v>
      </c>
      <c r="B4" s="3">
        <v>1</v>
      </c>
      <c r="C4" s="4">
        <v>1200000</v>
      </c>
      <c r="D4" s="4">
        <f t="shared" ref="D4:D9" si="0">C4*12</f>
        <v>14400000</v>
      </c>
      <c r="E4" s="4">
        <f t="shared" ref="E4:E9" si="1">D4/12</f>
        <v>1200000</v>
      </c>
      <c r="F4" s="4">
        <f t="shared" ref="F4:F9" si="2">D4*0.2667</f>
        <v>3840480</v>
      </c>
      <c r="G4" s="4">
        <f t="shared" ref="G4:G9" si="3">D4*0.02</f>
        <v>288000</v>
      </c>
      <c r="H4" s="4">
        <f t="shared" ref="H4:H9" si="4">D4+E4+F4+G4</f>
        <v>19728480</v>
      </c>
      <c r="I4" s="4">
        <f t="shared" ref="I4:I9" si="5">H4*B4</f>
        <v>19728480</v>
      </c>
    </row>
    <row r="5" spans="1:9" x14ac:dyDescent="0.3">
      <c r="A5" s="3" t="s">
        <v>27</v>
      </c>
      <c r="B5" s="3">
        <v>2</v>
      </c>
      <c r="C5" s="4">
        <v>800000</v>
      </c>
      <c r="D5" s="4">
        <f t="shared" si="0"/>
        <v>9600000</v>
      </c>
      <c r="E5" s="4">
        <f t="shared" si="1"/>
        <v>800000</v>
      </c>
      <c r="F5" s="4">
        <f t="shared" si="2"/>
        <v>2560320</v>
      </c>
      <c r="G5" s="4">
        <f t="shared" si="3"/>
        <v>192000</v>
      </c>
      <c r="H5" s="4">
        <f t="shared" si="4"/>
        <v>13152320</v>
      </c>
      <c r="I5" s="4">
        <f t="shared" si="5"/>
        <v>26304640</v>
      </c>
    </row>
    <row r="6" spans="1:9" x14ac:dyDescent="0.3">
      <c r="A6" s="3" t="s">
        <v>28</v>
      </c>
      <c r="B6" s="3">
        <v>2</v>
      </c>
      <c r="C6" s="4">
        <v>800000</v>
      </c>
      <c r="D6" s="4">
        <f t="shared" si="0"/>
        <v>9600000</v>
      </c>
      <c r="E6" s="4">
        <f t="shared" si="1"/>
        <v>800000</v>
      </c>
      <c r="F6" s="4">
        <f t="shared" si="2"/>
        <v>2560320</v>
      </c>
      <c r="G6" s="4">
        <f t="shared" si="3"/>
        <v>192000</v>
      </c>
      <c r="H6" s="4">
        <f t="shared" si="4"/>
        <v>13152320</v>
      </c>
      <c r="I6" s="4">
        <f t="shared" si="5"/>
        <v>26304640</v>
      </c>
    </row>
    <row r="7" spans="1:9" x14ac:dyDescent="0.3">
      <c r="A7" s="3" t="s">
        <v>29</v>
      </c>
      <c r="B7" s="3">
        <v>1</v>
      </c>
      <c r="C7" s="4">
        <v>700000</v>
      </c>
      <c r="D7" s="4">
        <f t="shared" si="0"/>
        <v>8400000</v>
      </c>
      <c r="E7" s="4">
        <f t="shared" si="1"/>
        <v>700000</v>
      </c>
      <c r="F7" s="4">
        <f t="shared" si="2"/>
        <v>2240280</v>
      </c>
      <c r="G7" s="4">
        <f t="shared" si="3"/>
        <v>168000</v>
      </c>
      <c r="H7" s="4">
        <f t="shared" si="4"/>
        <v>11508280</v>
      </c>
      <c r="I7" s="4">
        <f t="shared" si="5"/>
        <v>11508280</v>
      </c>
    </row>
    <row r="8" spans="1:9" x14ac:dyDescent="0.3">
      <c r="A8" s="3" t="s">
        <v>30</v>
      </c>
      <c r="B8" s="3">
        <v>2</v>
      </c>
      <c r="C8" s="4">
        <v>500000</v>
      </c>
      <c r="D8" s="4">
        <f t="shared" si="0"/>
        <v>6000000</v>
      </c>
      <c r="E8" s="4">
        <f t="shared" si="1"/>
        <v>500000</v>
      </c>
      <c r="F8" s="4">
        <f t="shared" si="2"/>
        <v>1600200</v>
      </c>
      <c r="G8" s="4">
        <f t="shared" si="3"/>
        <v>120000</v>
      </c>
      <c r="H8" s="4">
        <f t="shared" si="4"/>
        <v>8220200</v>
      </c>
      <c r="I8" s="4">
        <f t="shared" si="5"/>
        <v>16440400</v>
      </c>
    </row>
    <row r="9" spans="1:9" x14ac:dyDescent="0.3">
      <c r="A9" s="3" t="s">
        <v>31</v>
      </c>
      <c r="B9" s="3">
        <v>2</v>
      </c>
      <c r="C9" s="4">
        <v>600000</v>
      </c>
      <c r="D9" s="4">
        <f t="shared" si="0"/>
        <v>7200000</v>
      </c>
      <c r="E9" s="4">
        <f t="shared" si="1"/>
        <v>600000</v>
      </c>
      <c r="F9" s="4">
        <f t="shared" si="2"/>
        <v>1920240</v>
      </c>
      <c r="G9" s="4">
        <f t="shared" si="3"/>
        <v>144000</v>
      </c>
      <c r="H9" s="4">
        <f t="shared" si="4"/>
        <v>9864240</v>
      </c>
      <c r="I9" s="4">
        <f t="shared" si="5"/>
        <v>19728480</v>
      </c>
    </row>
    <row r="10" spans="1:9" x14ac:dyDescent="0.3">
      <c r="A10" s="5" t="s">
        <v>32</v>
      </c>
      <c r="B10" s="5">
        <f>SUM(B4:B9)</f>
        <v>10</v>
      </c>
      <c r="C10" s="5"/>
      <c r="D10" s="5"/>
      <c r="E10" s="5"/>
      <c r="F10" s="5"/>
      <c r="G10" s="5"/>
      <c r="H10" s="5"/>
      <c r="I10" s="6">
        <f>SUM(I4:I9)</f>
        <v>120014920</v>
      </c>
    </row>
    <row r="12" spans="1:9" x14ac:dyDescent="0.3">
      <c r="A12" s="7" t="s">
        <v>33</v>
      </c>
    </row>
    <row r="13" spans="1:9" x14ac:dyDescent="0.3">
      <c r="A13" s="8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2" width="55" customWidth="1"/>
    <col min="3" max="3" width="18" customWidth="1"/>
  </cols>
  <sheetData>
    <row r="1" spans="1:3" ht="19.95" customHeight="1" x14ac:dyDescent="0.35">
      <c r="A1" s="1" t="s">
        <v>35</v>
      </c>
    </row>
    <row r="3" spans="1:3" x14ac:dyDescent="0.3">
      <c r="A3" s="2" t="s">
        <v>36</v>
      </c>
      <c r="B3" s="2" t="s">
        <v>37</v>
      </c>
      <c r="C3" s="2" t="s">
        <v>38</v>
      </c>
    </row>
    <row r="4" spans="1:3" x14ac:dyDescent="0.3">
      <c r="A4" s="3" t="s">
        <v>39</v>
      </c>
      <c r="B4" s="3" t="s">
        <v>40</v>
      </c>
      <c r="C4" s="4">
        <f>Planilla!I10</f>
        <v>120014920</v>
      </c>
    </row>
    <row r="5" spans="1:3" x14ac:dyDescent="0.3">
      <c r="A5" s="3" t="s">
        <v>41</v>
      </c>
      <c r="B5" s="3" t="s">
        <v>42</v>
      </c>
      <c r="C5" s="4">
        <v>9600000</v>
      </c>
    </row>
    <row r="6" spans="1:3" x14ac:dyDescent="0.3">
      <c r="A6" s="3" t="s">
        <v>43</v>
      </c>
      <c r="B6" s="3" t="s">
        <v>44</v>
      </c>
      <c r="C6" s="4">
        <v>720000</v>
      </c>
    </row>
    <row r="7" spans="1:3" x14ac:dyDescent="0.3">
      <c r="A7" s="3" t="s">
        <v>45</v>
      </c>
      <c r="B7" s="3" t="s">
        <v>46</v>
      </c>
      <c r="C7" s="4">
        <v>3600000</v>
      </c>
    </row>
    <row r="8" spans="1:3" x14ac:dyDescent="0.3">
      <c r="A8" s="3" t="s">
        <v>47</v>
      </c>
      <c r="B8" s="3" t="s">
        <v>48</v>
      </c>
      <c r="C8" s="4">
        <v>7000000</v>
      </c>
    </row>
    <row r="9" spans="1:3" x14ac:dyDescent="0.3">
      <c r="A9" s="3" t="s">
        <v>49</v>
      </c>
      <c r="B9" s="3" t="s">
        <v>50</v>
      </c>
      <c r="C9" s="4">
        <v>2000000</v>
      </c>
    </row>
    <row r="10" spans="1:3" x14ac:dyDescent="0.3">
      <c r="A10" s="5" t="s">
        <v>51</v>
      </c>
      <c r="B10" s="5"/>
      <c r="C10" s="6">
        <f>SUM(C4:C9)</f>
        <v>142934920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86.109375" bestFit="1" customWidth="1"/>
    <col min="2" max="2" width="20" customWidth="1"/>
    <col min="3" max="3" width="22" customWidth="1"/>
    <col min="4" max="4" width="45" customWidth="1"/>
  </cols>
  <sheetData>
    <row r="1" spans="1:4" ht="19.95" customHeight="1" x14ac:dyDescent="0.35">
      <c r="A1" s="9" t="s">
        <v>52</v>
      </c>
    </row>
    <row r="3" spans="1:4" x14ac:dyDescent="0.3">
      <c r="A3" s="10" t="s">
        <v>53</v>
      </c>
    </row>
    <row r="4" spans="1:4" x14ac:dyDescent="0.3">
      <c r="A4" s="2" t="s">
        <v>54</v>
      </c>
      <c r="B4" s="2" t="s">
        <v>55</v>
      </c>
    </row>
    <row r="5" spans="1:4" x14ac:dyDescent="0.3">
      <c r="A5" s="3" t="s">
        <v>56</v>
      </c>
      <c r="B5" s="4">
        <v>380000</v>
      </c>
    </row>
    <row r="6" spans="1:4" x14ac:dyDescent="0.3">
      <c r="A6" s="3" t="s">
        <v>57</v>
      </c>
      <c r="B6" s="4">
        <v>150000</v>
      </c>
    </row>
    <row r="7" spans="1:4" x14ac:dyDescent="0.3">
      <c r="A7" s="3" t="s">
        <v>58</v>
      </c>
      <c r="B7" s="4">
        <v>30000</v>
      </c>
    </row>
    <row r="8" spans="1:4" x14ac:dyDescent="0.3">
      <c r="A8" s="3" t="s">
        <v>59</v>
      </c>
      <c r="B8" s="4">
        <v>80000</v>
      </c>
    </row>
    <row r="9" spans="1:4" x14ac:dyDescent="0.3">
      <c r="A9" s="3" t="s">
        <v>60</v>
      </c>
      <c r="B9" s="4">
        <v>80000</v>
      </c>
    </row>
    <row r="10" spans="1:4" x14ac:dyDescent="0.3">
      <c r="A10" s="3" t="s">
        <v>61</v>
      </c>
      <c r="B10" s="4">
        <v>50000</v>
      </c>
    </row>
    <row r="12" spans="1:4" x14ac:dyDescent="0.3">
      <c r="A12" s="5" t="s">
        <v>62</v>
      </c>
      <c r="B12" s="6">
        <f>SUM(B5:B10)</f>
        <v>770000</v>
      </c>
    </row>
    <row r="15" spans="1:4" x14ac:dyDescent="0.3">
      <c r="A15" s="10" t="s">
        <v>63</v>
      </c>
    </row>
    <row r="16" spans="1:4" ht="28.8" x14ac:dyDescent="0.3">
      <c r="A16" s="2" t="s">
        <v>17</v>
      </c>
      <c r="B16" s="2" t="s">
        <v>19</v>
      </c>
      <c r="C16" s="2" t="s">
        <v>64</v>
      </c>
      <c r="D16" s="2" t="s">
        <v>65</v>
      </c>
    </row>
    <row r="17" spans="1:4" x14ac:dyDescent="0.3">
      <c r="A17" s="3" t="s">
        <v>26</v>
      </c>
      <c r="B17" s="4">
        <v>1200000</v>
      </c>
      <c r="C17" s="4">
        <f t="shared" ref="C17:C22" si="0">B17-$B$12</f>
        <v>430000</v>
      </c>
      <c r="D17" s="3" t="s">
        <v>66</v>
      </c>
    </row>
    <row r="18" spans="1:4" x14ac:dyDescent="0.3">
      <c r="A18" s="3" t="s">
        <v>27</v>
      </c>
      <c r="B18" s="4">
        <v>800000</v>
      </c>
      <c r="C18" s="4">
        <f t="shared" si="0"/>
        <v>30000</v>
      </c>
      <c r="D18" s="3" t="s">
        <v>66</v>
      </c>
    </row>
    <row r="19" spans="1:4" x14ac:dyDescent="0.3">
      <c r="A19" s="3" t="s">
        <v>28</v>
      </c>
      <c r="B19" s="4">
        <v>800000</v>
      </c>
      <c r="C19" s="4">
        <f t="shared" si="0"/>
        <v>30000</v>
      </c>
      <c r="D19" s="3" t="s">
        <v>66</v>
      </c>
    </row>
    <row r="20" spans="1:4" x14ac:dyDescent="0.3">
      <c r="A20" s="3" t="s">
        <v>29</v>
      </c>
      <c r="B20" s="4">
        <v>700000</v>
      </c>
      <c r="C20" s="4">
        <f t="shared" si="0"/>
        <v>-70000</v>
      </c>
      <c r="D20" s="3" t="s">
        <v>66</v>
      </c>
    </row>
    <row r="21" spans="1:4" x14ac:dyDescent="0.3">
      <c r="A21" s="3" t="s">
        <v>30</v>
      </c>
      <c r="B21" s="4">
        <v>500000</v>
      </c>
      <c r="C21" s="4">
        <f t="shared" si="0"/>
        <v>-270000</v>
      </c>
      <c r="D21" s="3" t="s">
        <v>67</v>
      </c>
    </row>
    <row r="22" spans="1:4" x14ac:dyDescent="0.3">
      <c r="A22" s="3" t="s">
        <v>31</v>
      </c>
      <c r="B22" s="4">
        <v>600000</v>
      </c>
      <c r="C22" s="4">
        <f t="shared" si="0"/>
        <v>-170000</v>
      </c>
      <c r="D22" s="3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Supuestos</vt:lpstr>
      <vt:lpstr>Planilla</vt:lpstr>
      <vt:lpstr>Presupuesto</vt:lpstr>
      <vt:lpstr>CostoDeVida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VARGAS ROJAS</cp:lastModifiedBy>
  <dcterms:created xsi:type="dcterms:W3CDTF">2026-09-06T19:06:23Z</dcterms:created>
  <dcterms:modified xsi:type="dcterms:W3CDTF">2026-09-06T19:32:42Z</dcterms:modified>
</cp:coreProperties>
</file>